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Users\Peyal\Desktop\Manual Test\"/>
    </mc:Choice>
  </mc:AlternateContent>
  <xr:revisionPtr revIDLastSave="0" documentId="13_ncr:1_{374A0D33-9588-4A1B-A6C9-AC57774EC1D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 Cases" sheetId="1" r:id="rId1"/>
    <sheet name="Traceability Matrix" sheetId="2" r:id="rId2"/>
    <sheet name="Bug Report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<sst xmlns="http://schemas.openxmlformats.org/spreadsheetml/2006/main" count="193" uniqueCount="117">
  <si>
    <t>OrangeHRM — Manual Test Cases (Part B)</t>
  </si>
  <si>
    <t>Test ID</t>
  </si>
  <si>
    <t>Module</t>
  </si>
  <si>
    <t>Title</t>
  </si>
  <si>
    <t>Preconditions</t>
  </si>
  <si>
    <t>Steps</t>
  </si>
  <si>
    <t>Expected Result</t>
  </si>
  <si>
    <t>Actual Result</t>
  </si>
  <si>
    <t>Status (Pass/Fail)</t>
  </si>
  <si>
    <t>Priority/Severity</t>
  </si>
  <si>
    <t>TC_LOGIN_01</t>
  </si>
  <si>
    <t>Login</t>
  </si>
  <si>
    <t>Login with empty username and empty password</t>
  </si>
  <si>
    <t>User is on the Login page</t>
  </si>
  <si>
    <t>1. Leave Username field empty
2. Leave Password field empty
3. Click Login</t>
  </si>
  <si>
    <t>Inline 'Required' validation messages appear under both fields; user is not logged in</t>
  </si>
  <si>
    <t>As expected</t>
  </si>
  <si>
    <t>Pass</t>
  </si>
  <si>
    <t>High</t>
  </si>
  <si>
    <t>TC_LOGIN_02</t>
  </si>
  <si>
    <t>Login with valid username but empty password</t>
  </si>
  <si>
    <t>1. Enter a valid username
2. Leave Password empty
3. Click Login</t>
  </si>
  <si>
    <t>Inline 'Required' validation message appears under Password field; login blocked</t>
  </si>
  <si>
    <t>TC_LOGIN_03</t>
  </si>
  <si>
    <t>Username field rejects/accepts special characters gracefully</t>
  </si>
  <si>
    <t>1. Enter special characters e.g. ' OR 1=1 -- into Username
2. Enter any password
3. Click Login</t>
  </si>
  <si>
    <t>TC_LOGIN_04</t>
  </si>
  <si>
    <t>Not Executed</t>
  </si>
  <si>
    <t>Medium</t>
  </si>
  <si>
    <t>TC_LOGIN_05</t>
  </si>
  <si>
    <t>Direct URL access to an internal module without logging in (unauthorized access)</t>
  </si>
  <si>
    <t>User is logged out / has no active session</t>
  </si>
  <si>
    <t>1. Without logging in, paste a direct deep link to an internal page, e.g. /web/index.php/pim/viewEmployeeList, into the browser address bar
2. Press Enter</t>
  </si>
  <si>
    <t>User is redirected to the Login page and is not able to view the internal page content</t>
  </si>
  <si>
    <t>TC_PIM_01</t>
  </si>
  <si>
    <t>PIM</t>
  </si>
  <si>
    <t>Add Employee with First Name and Last Name left blank</t>
  </si>
  <si>
    <t>User is logged in as Admin and on Add Employee page</t>
  </si>
  <si>
    <t>1. Leave First Name blank
2. Leave Last Name blank
3. Click Save</t>
  </si>
  <si>
    <t>TC_PIM_02</t>
  </si>
  <si>
    <t>Add Employee with an extremely long name (boundary test)</t>
  </si>
  <si>
    <t>1. Enter a First Name / Last Name at or beyond the field's max character limit (e.g. 400+ characters)
2. Click Save</t>
  </si>
  <si>
    <t>Field either truncates to its documented max length or shows a clear validation message; no application error/crash occurs</t>
  </si>
  <si>
    <t>Low</t>
  </si>
  <si>
    <t>TC_ADMIN_01</t>
  </si>
  <si>
    <t>Admin</t>
  </si>
  <si>
    <t>Non-admin (low-privilege) user attempts to access Admin &gt; User Management</t>
  </si>
  <si>
    <t>A user account with a non-Admin role exists and is logged in</t>
  </si>
  <si>
    <t>1. Log in as a non-Admin user
2. Attempt to navigate to Admin &gt; User Management via URL or menu</t>
  </si>
  <si>
    <t>Access is denied / menu item is not available; user cannot view or modify system user accounts</t>
  </si>
  <si>
    <t>TC_ADMIN_02</t>
  </si>
  <si>
    <t>Search for a username using partial text / case-insensitive match</t>
  </si>
  <si>
    <t>User is logged in as Admin and on Admin &gt; User Management</t>
  </si>
  <si>
    <t>1. Enter a lowercase partial substring of a known username (e.g. 'adm' for 'Admin')
2. Click Search</t>
  </si>
  <si>
    <t>Results table returns all usernames containing the substring regardless of case</t>
  </si>
  <si>
    <t>TC_LEAVE_01</t>
  </si>
  <si>
    <t>Leave</t>
  </si>
  <si>
    <t>Apply for leave with 'To Date' earlier than 'From Date' (invalid date range)</t>
  </si>
  <si>
    <t>User is logged in and on Leave &gt; Apply page</t>
  </si>
  <si>
    <t>1. Select a From Date, e.g. 20th of the month
2. Select a To Date earlier than the From Date, e.g. 15th of the month
3. Click Apply</t>
  </si>
  <si>
    <t>System rejects the request with a validation message about the invalid date range; no leave record is created</t>
  </si>
  <si>
    <t>TC_LEAVE_02</t>
  </si>
  <si>
    <t>Apply for leave with a past date (boundary/edge case)</t>
  </si>
  <si>
    <t>1. Select From Date and To Date in the past
2. Click Apply</t>
  </si>
  <si>
    <t>System either blocks past-dated leave requests with a clear message or clarifies the accepted policy; behavior is consistent, not a silent failure</t>
  </si>
  <si>
    <t>Test-to-Requirement Traceability Matrix</t>
  </si>
  <si>
    <t>Module / Feature</t>
  </si>
  <si>
    <t>Requirement / Scenario Covered</t>
  </si>
  <si>
    <t>Covered By</t>
  </si>
  <si>
    <t>Notes</t>
  </si>
  <si>
    <t>Login form field-level validation (empty fields)</t>
  </si>
  <si>
    <t>Manual</t>
  </si>
  <si>
    <t>Complements Part A Q1 (invalid credential combo)</t>
  </si>
  <si>
    <t>Login form field-level validation (empty password)</t>
  </si>
  <si>
    <t>Complements Part A Q1</t>
  </si>
  <si>
    <t>Login input sanitization / security</t>
  </si>
  <si>
    <t>Not covered by automation</t>
  </si>
  <si>
    <t>Unauthorized access to protected routes</t>
  </si>
  <si>
    <t>Add Employee mandatory field validation</t>
  </si>
  <si>
    <t>Add Employee name field boundary length</t>
  </si>
  <si>
    <t>Role-based access control for User Management</t>
  </si>
  <si>
    <t>User search — partial/case-insensitive match</t>
  </si>
  <si>
    <t>Complements Part A Q3 (exact search)</t>
  </si>
  <si>
    <t>Invalid date range validation on Apply Leave</t>
  </si>
  <si>
    <t>Complements Part A Q4</t>
  </si>
  <si>
    <t>Past-dated leave application boundary case</t>
  </si>
  <si>
    <t>Bug / Defect Report</t>
  </si>
  <si>
    <t>Bug ID</t>
  </si>
  <si>
    <t>BUG-001</t>
  </si>
  <si>
    <t>Leave 'Apply' allows selecting a To Date earlier than the From Date without a client-side warning until submit</t>
  </si>
  <si>
    <t>Reported By</t>
  </si>
  <si>
    <t>QA — Manual Testing</t>
  </si>
  <si>
    <t>Date Found</t>
  </si>
  <si>
    <t>(fill in execution date)</t>
  </si>
  <si>
    <t>Environment</t>
  </si>
  <si>
    <t>OrangeHRM demo — https://opensource-demo.orangehrmlive.com, Chrome (latest), Windows/macOS</t>
  </si>
  <si>
    <t>Logged in as Admin; on Leave &gt; Apply page</t>
  </si>
  <si>
    <t>Steps to Reproduce</t>
  </si>
  <si>
    <t>1. Navigate to Leave &gt; Apply
2. Select a Leave Type
3. Set From Date to a later date (e.g. 25th) and To Date to an earlier date (e.g. 20th) of the same month
4. Click Apply</t>
  </si>
  <si>
    <t>The From/To Date fields should show an inline validation message immediately (or block submission clearly) indicating To Date cannot precede From Date.</t>
  </si>
  <si>
    <t>The form allows the invalid range to be submitted; the error/rejection (if any) is only surfaced after the Apply click, with a generic message that does not clearly explain which field is invalid.</t>
  </si>
  <si>
    <t>Severity</t>
  </si>
  <si>
    <t>Priority</t>
  </si>
  <si>
    <t>Status</t>
  </si>
  <si>
    <t>Open</t>
  </si>
  <si>
    <t>Screenshot</t>
  </si>
  <si>
    <t>See /manual-tests/screenshots/BUG-001.png (attach the actual screenshot captured during execution)</t>
  </si>
  <si>
    <t>Execution Summary</t>
  </si>
  <si>
    <t>Total test cases</t>
  </si>
  <si>
    <t>Passed</t>
  </si>
  <si>
    <t>Failed</t>
  </si>
  <si>
    <t>High priority cases</t>
  </si>
  <si>
    <t>Medium priority cases</t>
  </si>
  <si>
    <t>Low priority cases</t>
  </si>
  <si>
    <t>Login fails safely with 'Invalid credentials.</t>
  </si>
  <si>
    <t>Inline 'Required' validation shown for both fields and employee record is not created</t>
  </si>
  <si>
    <t xml:space="preserve">Complements Part A Q2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</si>
</sst>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theme="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E7E6E6"/>
      </patternFill>
    </fill>
    <fill>
      <patternFill patternType="solid">
        <fgColor rgb="FFE7E6E6"/>
        <bgColor rgb="FFC6EFCE"/>
      </patternFill>
    </fill>
    <fill>
      <patternFill patternType="solid">
        <fgColor rgb="FFFFEB9C"/>
        <bgColor rgb="FFE7E6E6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vertical="top" wrapText="1"/>
    </xf>
    <xf numFmtId="0" fontId="1" fillId="0" borderId="0" xfId="0" applyFont="1"/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workbookViewId="0">
      <pane ySplit="4" topLeftCell="A5" activePane="bottomLeft" state="frozen"/>
      <selection pane="bottomLeft" activeCell="J12" sqref="J12"/>
    </sheetView>
  </sheetViews>
  <sheetFormatPr defaultColWidth="8.7109375" defaultRowHeight="15" x14ac:dyDescent="0.25"/>
  <cols>
    <col min="1" max="1" width="13" customWidth="1"/>
    <col min="2" max="2" width="10" customWidth="1"/>
    <col min="3" max="3" width="30" customWidth="1"/>
    <col min="4" max="4" width="26" customWidth="1"/>
    <col min="5" max="5" width="42" customWidth="1"/>
    <col min="6" max="6" width="70" customWidth="1"/>
    <col min="7" max="8" width="16" customWidth="1"/>
    <col min="9" max="9" width="14" customWidth="1"/>
  </cols>
  <sheetData>
    <row r="1" spans="1:9" ht="18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27.75" customHeight="1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9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9" ht="3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38.25" x14ac:dyDescent="0.25">
      <c r="A5" s="2" t="s">
        <v>10</v>
      </c>
      <c r="B5" s="2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4" t="s">
        <v>17</v>
      </c>
      <c r="I5" s="5" t="s">
        <v>18</v>
      </c>
    </row>
    <row r="6" spans="1:9" ht="38.25" x14ac:dyDescent="0.25">
      <c r="A6" s="2" t="s">
        <v>19</v>
      </c>
      <c r="B6" s="2" t="s">
        <v>11</v>
      </c>
      <c r="C6" s="3" t="s">
        <v>20</v>
      </c>
      <c r="D6" s="3" t="s">
        <v>13</v>
      </c>
      <c r="E6" s="3" t="s">
        <v>21</v>
      </c>
      <c r="F6" s="3" t="s">
        <v>22</v>
      </c>
      <c r="G6" s="3" t="s">
        <v>16</v>
      </c>
      <c r="H6" s="4" t="s">
        <v>17</v>
      </c>
      <c r="I6" s="5" t="s">
        <v>18</v>
      </c>
    </row>
    <row r="7" spans="1:9" ht="51" x14ac:dyDescent="0.25">
      <c r="A7" s="2" t="s">
        <v>23</v>
      </c>
      <c r="B7" s="2" t="s">
        <v>11</v>
      </c>
      <c r="C7" s="3" t="s">
        <v>24</v>
      </c>
      <c r="D7" s="3" t="s">
        <v>13</v>
      </c>
      <c r="E7" s="3" t="s">
        <v>25</v>
      </c>
      <c r="F7" s="3" t="s">
        <v>114</v>
      </c>
      <c r="G7" s="3" t="s">
        <v>16</v>
      </c>
      <c r="H7" s="4" t="s">
        <v>17</v>
      </c>
      <c r="I7" s="5" t="s">
        <v>18</v>
      </c>
    </row>
    <row r="8" spans="1:9" x14ac:dyDescent="0.25">
      <c r="A8" s="24" t="s">
        <v>26</v>
      </c>
      <c r="B8" s="15" t="s">
        <v>11</v>
      </c>
      <c r="C8" s="15" t="s">
        <v>30</v>
      </c>
      <c r="D8" s="15" t="s">
        <v>31</v>
      </c>
      <c r="E8" s="15" t="s">
        <v>32</v>
      </c>
      <c r="F8" s="15" t="s">
        <v>33</v>
      </c>
      <c r="G8" s="15" t="s">
        <v>16</v>
      </c>
      <c r="H8" s="17" t="s">
        <v>17</v>
      </c>
      <c r="I8" s="19" t="s">
        <v>18</v>
      </c>
    </row>
    <row r="9" spans="1:9" ht="63.75" customHeight="1" x14ac:dyDescent="0.25">
      <c r="A9" s="16"/>
      <c r="B9" s="16"/>
      <c r="C9" s="16"/>
      <c r="D9" s="16"/>
      <c r="E9" s="16"/>
      <c r="F9" s="16"/>
      <c r="G9" s="16"/>
      <c r="H9" s="18"/>
      <c r="I9" s="20"/>
    </row>
    <row r="10" spans="1:9" ht="38.25" x14ac:dyDescent="0.25">
      <c r="A10" s="2" t="s">
        <v>34</v>
      </c>
      <c r="B10" s="2" t="s">
        <v>35</v>
      </c>
      <c r="C10" s="3" t="s">
        <v>36</v>
      </c>
      <c r="D10" s="3" t="s">
        <v>37</v>
      </c>
      <c r="E10" s="3" t="s">
        <v>38</v>
      </c>
      <c r="F10" s="3" t="s">
        <v>115</v>
      </c>
      <c r="G10" s="3" t="s">
        <v>16</v>
      </c>
      <c r="H10" s="4" t="s">
        <v>17</v>
      </c>
      <c r="I10" s="7" t="s">
        <v>28</v>
      </c>
    </row>
    <row r="11" spans="1:9" ht="51" x14ac:dyDescent="0.25">
      <c r="A11" s="2" t="s">
        <v>39</v>
      </c>
      <c r="B11" s="2" t="s">
        <v>35</v>
      </c>
      <c r="C11" s="3" t="s">
        <v>40</v>
      </c>
      <c r="D11" s="3" t="s">
        <v>37</v>
      </c>
      <c r="E11" s="3" t="s">
        <v>41</v>
      </c>
      <c r="F11" s="3" t="s">
        <v>42</v>
      </c>
      <c r="G11" s="3" t="s">
        <v>27</v>
      </c>
      <c r="H11" s="6" t="s">
        <v>27</v>
      </c>
      <c r="I11" s="4" t="s">
        <v>43</v>
      </c>
    </row>
    <row r="12" spans="1:9" ht="38.25" x14ac:dyDescent="0.25">
      <c r="A12" s="2" t="s">
        <v>44</v>
      </c>
      <c r="B12" s="2" t="s">
        <v>45</v>
      </c>
      <c r="C12" s="3" t="s">
        <v>46</v>
      </c>
      <c r="D12" s="3" t="s">
        <v>47</v>
      </c>
      <c r="E12" s="3" t="s">
        <v>48</v>
      </c>
      <c r="F12" s="3" t="s">
        <v>49</v>
      </c>
      <c r="G12" s="3" t="s">
        <v>27</v>
      </c>
      <c r="H12" s="6" t="s">
        <v>27</v>
      </c>
      <c r="I12" s="5" t="s">
        <v>18</v>
      </c>
    </row>
    <row r="13" spans="1:9" ht="38.25" x14ac:dyDescent="0.25">
      <c r="A13" s="2" t="s">
        <v>50</v>
      </c>
      <c r="B13" s="2" t="s">
        <v>45</v>
      </c>
      <c r="C13" s="3" t="s">
        <v>51</v>
      </c>
      <c r="D13" s="3" t="s">
        <v>52</v>
      </c>
      <c r="E13" s="3" t="s">
        <v>53</v>
      </c>
      <c r="F13" s="3" t="s">
        <v>54</v>
      </c>
      <c r="G13" s="3" t="s">
        <v>16</v>
      </c>
      <c r="H13" s="4" t="s">
        <v>17</v>
      </c>
      <c r="I13" s="4" t="s">
        <v>43</v>
      </c>
    </row>
    <row r="14" spans="1:9" ht="51" x14ac:dyDescent="0.25">
      <c r="A14" s="2" t="s">
        <v>55</v>
      </c>
      <c r="B14" s="2" t="s">
        <v>56</v>
      </c>
      <c r="C14" s="3" t="s">
        <v>57</v>
      </c>
      <c r="D14" s="3" t="s">
        <v>58</v>
      </c>
      <c r="E14" s="3" t="s">
        <v>59</v>
      </c>
      <c r="F14" s="3" t="s">
        <v>60</v>
      </c>
      <c r="G14" s="3" t="s">
        <v>16</v>
      </c>
      <c r="H14" s="4" t="s">
        <v>17</v>
      </c>
      <c r="I14" s="7" t="s">
        <v>28</v>
      </c>
    </row>
    <row r="15" spans="1:9" ht="25.5" x14ac:dyDescent="0.25">
      <c r="A15" s="2" t="s">
        <v>61</v>
      </c>
      <c r="B15" s="2" t="s">
        <v>56</v>
      </c>
      <c r="C15" s="3" t="s">
        <v>62</v>
      </c>
      <c r="D15" s="3" t="s">
        <v>58</v>
      </c>
      <c r="E15" s="3" t="s">
        <v>63</v>
      </c>
      <c r="F15" s="3" t="s">
        <v>64</v>
      </c>
      <c r="G15" s="3" t="s">
        <v>27</v>
      </c>
      <c r="H15" s="6" t="s">
        <v>27</v>
      </c>
      <c r="I15" s="7" t="s">
        <v>28</v>
      </c>
    </row>
    <row r="16" spans="1:9" ht="33" customHeight="1" x14ac:dyDescent="0.25">
      <c r="A16" s="25"/>
      <c r="B16" s="25"/>
      <c r="C16" s="26"/>
      <c r="D16" s="26"/>
      <c r="E16" s="26"/>
      <c r="F16" s="26"/>
      <c r="G16" s="26"/>
      <c r="H16" s="23"/>
      <c r="I16" s="21"/>
    </row>
    <row r="17" spans="1:9" x14ac:dyDescent="0.25">
      <c r="A17" s="2"/>
      <c r="B17" s="2"/>
      <c r="C17" s="3"/>
      <c r="D17" s="3"/>
      <c r="E17" s="3"/>
      <c r="F17" s="3"/>
      <c r="G17" s="3"/>
      <c r="H17" s="22"/>
      <c r="I17" s="21"/>
    </row>
    <row r="18" spans="1:9" x14ac:dyDescent="0.25">
      <c r="A18" s="2"/>
      <c r="B18" s="2"/>
      <c r="C18" s="3"/>
      <c r="D18" s="3"/>
      <c r="E18" s="3"/>
      <c r="F18" s="3"/>
      <c r="G18" s="3"/>
      <c r="H18" s="23"/>
      <c r="I18" s="21"/>
    </row>
    <row r="19" spans="1:9" x14ac:dyDescent="0.25">
      <c r="A19" s="2"/>
      <c r="B19" s="2"/>
      <c r="C19" s="3"/>
      <c r="D19" s="3"/>
      <c r="E19" s="3"/>
      <c r="F19" s="3"/>
      <c r="G19" s="3"/>
      <c r="H19" s="23"/>
      <c r="I19" s="21"/>
    </row>
  </sheetData>
  <mergeCells count="10">
    <mergeCell ref="A1:I2"/>
    <mergeCell ref="A8:A9"/>
    <mergeCell ref="B8:B9"/>
    <mergeCell ref="C8:C9"/>
    <mergeCell ref="D8:D9"/>
    <mergeCell ref="E8:E9"/>
    <mergeCell ref="F8:F9"/>
    <mergeCell ref="G8:G9"/>
    <mergeCell ref="H8:H9"/>
    <mergeCell ref="I8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Normal="100" workbookViewId="0">
      <pane ySplit="3" topLeftCell="A4" activePane="bottomLeft" state="frozen"/>
      <selection pane="bottomLeft" activeCell="E22" sqref="A17:E22"/>
    </sheetView>
  </sheetViews>
  <sheetFormatPr defaultColWidth="8.7109375" defaultRowHeight="15" x14ac:dyDescent="0.25"/>
  <cols>
    <col min="1" max="2" width="16" customWidth="1"/>
    <col min="3" max="3" width="46" customWidth="1"/>
    <col min="4" max="4" width="22" customWidth="1"/>
    <col min="5" max="5" width="40" customWidth="1"/>
  </cols>
  <sheetData>
    <row r="1" spans="1:5" ht="18" x14ac:dyDescent="0.25">
      <c r="A1" s="12" t="s">
        <v>65</v>
      </c>
      <c r="B1" s="12"/>
      <c r="C1" s="12"/>
      <c r="D1" s="12"/>
      <c r="E1" s="12"/>
    </row>
    <row r="3" spans="1:5" ht="30" x14ac:dyDescent="0.25">
      <c r="A3" s="1" t="s">
        <v>1</v>
      </c>
      <c r="B3" s="1" t="s">
        <v>66</v>
      </c>
      <c r="C3" s="1" t="s">
        <v>67</v>
      </c>
      <c r="D3" s="1" t="s">
        <v>68</v>
      </c>
      <c r="E3" s="1" t="s">
        <v>69</v>
      </c>
    </row>
    <row r="4" spans="1:5" ht="25.5" x14ac:dyDescent="0.25">
      <c r="A4" s="2" t="s">
        <v>10</v>
      </c>
      <c r="B4" s="3" t="s">
        <v>11</v>
      </c>
      <c r="C4" s="3" t="s">
        <v>70</v>
      </c>
      <c r="D4" s="2" t="s">
        <v>71</v>
      </c>
      <c r="E4" s="3" t="s">
        <v>72</v>
      </c>
    </row>
    <row r="5" spans="1:5" x14ac:dyDescent="0.25">
      <c r="A5" s="2" t="s">
        <v>19</v>
      </c>
      <c r="B5" s="3" t="s">
        <v>11</v>
      </c>
      <c r="C5" s="3" t="s">
        <v>73</v>
      </c>
      <c r="D5" s="2" t="s">
        <v>71</v>
      </c>
      <c r="E5" s="3" t="s">
        <v>74</v>
      </c>
    </row>
    <row r="6" spans="1:5" x14ac:dyDescent="0.25">
      <c r="A6" s="2" t="s">
        <v>23</v>
      </c>
      <c r="B6" s="3" t="s">
        <v>11</v>
      </c>
      <c r="C6" s="3" t="s">
        <v>75</v>
      </c>
      <c r="D6" s="2" t="s">
        <v>71</v>
      </c>
      <c r="E6" s="3" t="s">
        <v>76</v>
      </c>
    </row>
    <row r="7" spans="1:5" x14ac:dyDescent="0.25">
      <c r="A7" s="2" t="s">
        <v>29</v>
      </c>
      <c r="B7" s="3" t="s">
        <v>11</v>
      </c>
      <c r="C7" s="3" t="s">
        <v>77</v>
      </c>
      <c r="D7" s="2" t="s">
        <v>71</v>
      </c>
      <c r="E7" s="3" t="s">
        <v>76</v>
      </c>
    </row>
    <row r="8" spans="1:5" x14ac:dyDescent="0.25">
      <c r="A8" s="2" t="s">
        <v>34</v>
      </c>
      <c r="B8" s="3" t="s">
        <v>35</v>
      </c>
      <c r="C8" s="3" t="s">
        <v>78</v>
      </c>
      <c r="D8" s="2" t="s">
        <v>71</v>
      </c>
      <c r="E8" s="27" t="s">
        <v>116</v>
      </c>
    </row>
    <row r="9" spans="1:5" x14ac:dyDescent="0.25">
      <c r="A9" s="2" t="s">
        <v>39</v>
      </c>
      <c r="B9" s="3" t="s">
        <v>35</v>
      </c>
      <c r="C9" s="3" t="s">
        <v>79</v>
      </c>
      <c r="D9" s="2" t="s">
        <v>71</v>
      </c>
      <c r="E9" s="3" t="s">
        <v>76</v>
      </c>
    </row>
    <row r="10" spans="1:5" x14ac:dyDescent="0.25">
      <c r="A10" s="2" t="s">
        <v>44</v>
      </c>
      <c r="B10" s="3" t="s">
        <v>45</v>
      </c>
      <c r="C10" s="3" t="s">
        <v>80</v>
      </c>
      <c r="D10" s="2" t="s">
        <v>71</v>
      </c>
      <c r="E10" s="3" t="s">
        <v>76</v>
      </c>
    </row>
    <row r="11" spans="1:5" x14ac:dyDescent="0.25">
      <c r="A11" s="2" t="s">
        <v>50</v>
      </c>
      <c r="B11" s="3" t="s">
        <v>45</v>
      </c>
      <c r="C11" s="3" t="s">
        <v>81</v>
      </c>
      <c r="D11" s="2" t="s">
        <v>71</v>
      </c>
      <c r="E11" s="3" t="s">
        <v>82</v>
      </c>
    </row>
    <row r="12" spans="1:5" x14ac:dyDescent="0.25">
      <c r="A12" s="2" t="s">
        <v>55</v>
      </c>
      <c r="B12" s="3" t="s">
        <v>56</v>
      </c>
      <c r="C12" s="3" t="s">
        <v>83</v>
      </c>
      <c r="D12" s="2" t="s">
        <v>71</v>
      </c>
      <c r="E12" s="3" t="s">
        <v>84</v>
      </c>
    </row>
    <row r="13" spans="1:5" x14ac:dyDescent="0.25">
      <c r="A13" s="2" t="s">
        <v>61</v>
      </c>
      <c r="B13" s="3" t="s">
        <v>56</v>
      </c>
      <c r="C13" s="3" t="s">
        <v>85</v>
      </c>
      <c r="D13" s="2" t="s">
        <v>71</v>
      </c>
      <c r="E13" s="3" t="s">
        <v>76</v>
      </c>
    </row>
    <row r="14" spans="1:5" x14ac:dyDescent="0.25">
      <c r="A14" s="2"/>
      <c r="B14" s="3"/>
      <c r="C14" s="3"/>
      <c r="D14" s="2"/>
      <c r="E14" s="3"/>
    </row>
    <row r="17" spans="1:5" x14ac:dyDescent="0.25">
      <c r="A17" s="2"/>
      <c r="B17" s="3"/>
      <c r="C17" s="3"/>
      <c r="D17" s="2"/>
      <c r="E17" s="3"/>
    </row>
    <row r="18" spans="1:5" x14ac:dyDescent="0.25">
      <c r="A18" s="2"/>
      <c r="B18" s="3"/>
      <c r="C18" s="3"/>
      <c r="D18" s="2"/>
      <c r="E18" s="3"/>
    </row>
    <row r="21" spans="1:5" x14ac:dyDescent="0.25">
      <c r="A21" s="2"/>
      <c r="B21" s="3"/>
      <c r="C21" s="3"/>
      <c r="D21" s="2"/>
      <c r="E21" s="3"/>
    </row>
    <row r="22" spans="1:5" x14ac:dyDescent="0.25">
      <c r="A22" s="2"/>
      <c r="B22" s="3"/>
      <c r="C22" s="3"/>
      <c r="D22" s="2"/>
      <c r="E22" s="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zoomScaleNormal="100" workbookViewId="0">
      <selection sqref="A1:B1"/>
    </sheetView>
  </sheetViews>
  <sheetFormatPr defaultColWidth="8.7109375" defaultRowHeight="15" x14ac:dyDescent="0.25"/>
  <cols>
    <col min="1" max="1" width="20" customWidth="1"/>
    <col min="2" max="2" width="90" customWidth="1"/>
  </cols>
  <sheetData>
    <row r="1" spans="1:2" ht="18" x14ac:dyDescent="0.25">
      <c r="A1" s="12" t="s">
        <v>86</v>
      </c>
      <c r="B1" s="12"/>
    </row>
    <row r="3" spans="1:2" ht="19.5" customHeight="1" x14ac:dyDescent="0.25">
      <c r="A3" s="8" t="s">
        <v>87</v>
      </c>
      <c r="B3" s="3" t="s">
        <v>88</v>
      </c>
    </row>
    <row r="4" spans="1:2" ht="45.75" customHeight="1" x14ac:dyDescent="0.25">
      <c r="A4" s="8" t="s">
        <v>3</v>
      </c>
      <c r="B4" s="3" t="s">
        <v>89</v>
      </c>
    </row>
    <row r="5" spans="1:2" ht="19.5" customHeight="1" x14ac:dyDescent="0.25">
      <c r="A5" s="8" t="s">
        <v>2</v>
      </c>
      <c r="B5" s="3" t="s">
        <v>56</v>
      </c>
    </row>
    <row r="6" spans="1:2" ht="19.5" customHeight="1" x14ac:dyDescent="0.25">
      <c r="A6" s="8" t="s">
        <v>90</v>
      </c>
      <c r="B6" s="3" t="s">
        <v>91</v>
      </c>
    </row>
    <row r="7" spans="1:2" ht="19.5" customHeight="1" x14ac:dyDescent="0.25">
      <c r="A7" s="8" t="s">
        <v>92</v>
      </c>
      <c r="B7" s="3" t="s">
        <v>93</v>
      </c>
    </row>
    <row r="8" spans="1:2" ht="45.75" customHeight="1" x14ac:dyDescent="0.25">
      <c r="A8" s="8" t="s">
        <v>94</v>
      </c>
      <c r="B8" s="3" t="s">
        <v>95</v>
      </c>
    </row>
    <row r="9" spans="1:2" ht="19.5" customHeight="1" x14ac:dyDescent="0.25">
      <c r="A9" s="8" t="s">
        <v>4</v>
      </c>
      <c r="B9" s="3" t="s">
        <v>96</v>
      </c>
    </row>
    <row r="10" spans="1:2" ht="63.75" customHeight="1" x14ac:dyDescent="0.25">
      <c r="A10" s="8" t="s">
        <v>97</v>
      </c>
      <c r="B10" s="3" t="s">
        <v>98</v>
      </c>
    </row>
    <row r="11" spans="1:2" ht="45.75" customHeight="1" x14ac:dyDescent="0.25">
      <c r="A11" s="8" t="s">
        <v>6</v>
      </c>
      <c r="B11" s="3" t="s">
        <v>99</v>
      </c>
    </row>
    <row r="12" spans="1:2" ht="45.75" customHeight="1" x14ac:dyDescent="0.25">
      <c r="A12" s="8" t="s">
        <v>7</v>
      </c>
      <c r="B12" s="3" t="s">
        <v>100</v>
      </c>
    </row>
    <row r="13" spans="1:2" ht="19.5" customHeight="1" x14ac:dyDescent="0.25">
      <c r="A13" s="8" t="s">
        <v>101</v>
      </c>
      <c r="B13" s="3" t="s">
        <v>28</v>
      </c>
    </row>
    <row r="14" spans="1:2" ht="19.5" customHeight="1" x14ac:dyDescent="0.25">
      <c r="A14" s="8" t="s">
        <v>102</v>
      </c>
      <c r="B14" s="3" t="s">
        <v>28</v>
      </c>
    </row>
    <row r="15" spans="1:2" ht="19.5" customHeight="1" x14ac:dyDescent="0.25">
      <c r="A15" s="8" t="s">
        <v>103</v>
      </c>
      <c r="B15" s="3" t="s">
        <v>104</v>
      </c>
    </row>
    <row r="16" spans="1:2" ht="45.75" customHeight="1" x14ac:dyDescent="0.25">
      <c r="A16" s="8" t="s">
        <v>105</v>
      </c>
      <c r="B16" s="3" t="s">
        <v>106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>
      <selection sqref="A1:B1"/>
    </sheetView>
  </sheetViews>
  <sheetFormatPr defaultColWidth="8.7109375" defaultRowHeight="15" x14ac:dyDescent="0.25"/>
  <cols>
    <col min="1" max="1" width="24" customWidth="1"/>
    <col min="2" max="2" width="14" customWidth="1"/>
  </cols>
  <sheetData>
    <row r="1" spans="1:2" ht="18" x14ac:dyDescent="0.25">
      <c r="A1" s="14" t="s">
        <v>107</v>
      </c>
      <c r="B1" s="14"/>
    </row>
    <row r="3" spans="1:2" x14ac:dyDescent="0.25">
      <c r="A3" s="9" t="s">
        <v>108</v>
      </c>
      <c r="B3" s="10">
        <f>COUNTA('Test Cases'!A5:A19)</f>
        <v>10</v>
      </c>
    </row>
    <row r="4" spans="1:2" x14ac:dyDescent="0.25">
      <c r="A4" s="9" t="s">
        <v>109</v>
      </c>
      <c r="B4" s="10">
        <f>COUNTIF('Test Cases'!H5:H19,"Pass")</f>
        <v>7</v>
      </c>
    </row>
    <row r="5" spans="1:2" x14ac:dyDescent="0.25">
      <c r="A5" s="9" t="s">
        <v>110</v>
      </c>
      <c r="B5" s="10">
        <f>COUNTIF('Test Cases'!H5:H19,"Fail")</f>
        <v>0</v>
      </c>
    </row>
    <row r="6" spans="1:2" x14ac:dyDescent="0.25">
      <c r="A6" s="9" t="s">
        <v>27</v>
      </c>
      <c r="B6" s="10">
        <f>COUNTIF('Test Cases'!H5:H19,"Not Executed")</f>
        <v>3</v>
      </c>
    </row>
    <row r="7" spans="1:2" x14ac:dyDescent="0.25">
      <c r="A7" s="9" t="s">
        <v>111</v>
      </c>
      <c r="B7" s="10">
        <f>COUNTIF('Test Cases'!I5:I19,"High")</f>
        <v>5</v>
      </c>
    </row>
    <row r="8" spans="1:2" x14ac:dyDescent="0.25">
      <c r="A8" s="9" t="s">
        <v>112</v>
      </c>
      <c r="B8" s="10">
        <f>COUNTIF('Test Cases'!I5:I19,"Medium")</f>
        <v>3</v>
      </c>
    </row>
    <row r="9" spans="1:2" x14ac:dyDescent="0.25">
      <c r="A9" s="9" t="s">
        <v>113</v>
      </c>
      <c r="B9" s="10">
        <f>COUNTIF('Test Cases'!I5:I19,"Low")</f>
        <v>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Traceability Matrix</vt:lpstr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Peyal Dey Ovi</cp:lastModifiedBy>
  <cp:revision>0</cp:revision>
  <dcterms:created xsi:type="dcterms:W3CDTF">2026-09-08T04:56:12Z</dcterms:created>
  <dcterms:modified xsi:type="dcterms:W3CDTF">2026-09-14T13:57:33Z</dcterms:modified>
  <dc:language>en-US</dc:language>
</cp:coreProperties>
</file>